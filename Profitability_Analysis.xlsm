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leHollands\OneDrive\Education\Coursera\Excel_VBA for Creative Problem Solving\Part 3\Week 3\Profitability Analysis\"/>
    </mc:Choice>
  </mc:AlternateContent>
  <xr:revisionPtr revIDLastSave="0" documentId="13_ncr:1_{E1581F46-FC39-4D6F-B349-8C557A85CEFC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Main" sheetId="1" r:id="rId1"/>
    <sheet name="Histogram" sheetId="65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<sst xmlns="http://schemas.openxmlformats.org/spreadsheetml/2006/main" count="28" uniqueCount="23">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</sst>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  <xf numFmtId="0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Data'!$A$1:$A$10</c:f>
              <c:numCache>
                <c:formatCode>General</c:formatCode>
                <c:ptCount val="10"/>
                <c:pt idx="0">
                  <c:v>0</c:v>
                </c:pt>
                <c:pt idx="1">
                  <c:v>-30</c:v>
                </c:pt>
                <c:pt idx="2">
                  <c:v>-10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70</c:v>
                </c:pt>
                <c:pt idx="7">
                  <c:v>90</c:v>
                </c:pt>
                <c:pt idx="8">
                  <c:v>110</c:v>
                </c:pt>
                <c:pt idx="9">
                  <c:v>130</c:v>
                </c:pt>
              </c:numCache>
            </c:numRef>
          </c:cat>
          <c:val>
            <c:numRef>
              <c:f>'Histogram Data'!$B$1:$B$10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10</c:v>
                </c:pt>
                <c:pt idx="3">
                  <c:v>26</c:v>
                </c:pt>
                <c:pt idx="4">
                  <c:v>56</c:v>
                </c:pt>
                <c:pt idx="5">
                  <c:v>60</c:v>
                </c:pt>
                <c:pt idx="6">
                  <c:v>35</c:v>
                </c:pt>
                <c:pt idx="7">
                  <c:v>33</c:v>
                </c:pt>
                <c:pt idx="8">
                  <c:v>20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1-4A36-82F0-26ACA7003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4317168"/>
        <c:axId val="1538736512"/>
      </c:barChart>
      <c:catAx>
        <c:axId val="131431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736512"/>
        <c:crosses val="autoZero"/>
        <c:auto val="1"/>
        <c:lblAlgn val="ctr"/>
        <c:lblOffset val="100"/>
        <c:noMultiLvlLbl val="0"/>
      </c:catAx>
      <c:valAx>
        <c:axId val="15387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431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642C886-5E12-486D-9142-02619C000CC3}">
  <sheetPr/>
  <sheetViews>
    <sheetView zoomScale="7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D4EE6D-0638-46DD-888E-40667C8CE39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H8" sqref="H8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6.140625" bestFit="1" customWidth="1"/>
    <col min="9" max="9" width="5.5703125" bestFit="1" customWidth="1"/>
    <col min="10" max="10" width="5.28515625" bestFit="1" customWidth="1"/>
    <col min="11" max="11" width="5.5703125" bestFit="1" customWidth="1"/>
    <col min="12" max="12" width="12.7109375" bestFit="1" customWidth="1"/>
    <col min="13" max="13" width="7.7109375" bestFit="1" customWidth="1"/>
    <col min="14" max="14" width="7.28515625" bestFit="1" customWidth="1"/>
    <col min="16" max="16" width="9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16">
        <v>-5</v>
      </c>
      <c r="D3" t="s">
        <v>2</v>
      </c>
      <c r="E3" s="15">
        <v>47.174725031508999</v>
      </c>
      <c r="G3" t="s">
        <v>3</v>
      </c>
      <c r="H3" s="5">
        <v>-3.6901061865112426</v>
      </c>
    </row>
    <row r="4" spans="1:16" ht="15.75" thickBot="1" x14ac:dyDescent="0.3">
      <c r="A4" t="s">
        <v>4</v>
      </c>
      <c r="B4" s="6">
        <v>-4.126427097400116</v>
      </c>
      <c r="D4" t="s">
        <v>5</v>
      </c>
      <c r="E4" s="7">
        <v>0.35</v>
      </c>
      <c r="G4" t="s">
        <v>6</v>
      </c>
      <c r="H4" s="8">
        <v>0.10359994769096374</v>
      </c>
    </row>
    <row r="5" spans="1:16" x14ac:dyDescent="0.25">
      <c r="A5" t="s">
        <v>7</v>
      </c>
      <c r="B5" s="9">
        <v>-101.13261774419287</v>
      </c>
      <c r="H5" s="10"/>
    </row>
    <row r="6" spans="1:16" x14ac:dyDescent="0.25">
      <c r="A6" t="s">
        <v>8</v>
      </c>
      <c r="B6" s="9">
        <v>-34.738234281539917</v>
      </c>
      <c r="E6" t="s">
        <v>9</v>
      </c>
      <c r="H6" s="10"/>
    </row>
    <row r="7" spans="1:16" ht="15.75" thickBot="1" x14ac:dyDescent="0.3">
      <c r="A7" t="s">
        <v>10</v>
      </c>
      <c r="B7" s="14">
        <v>-6.6584549444846743</v>
      </c>
      <c r="E7" t="s">
        <v>11</v>
      </c>
      <c r="H7" s="10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1">
        <f>0.5*CTDC</f>
        <v>-50.566308872096435</v>
      </c>
      <c r="C10" s="11"/>
      <c r="D10" s="11">
        <f>Cland</f>
        <v>-5</v>
      </c>
      <c r="E10" s="11"/>
      <c r="F10" s="11"/>
      <c r="G10" s="11"/>
      <c r="H10" s="11"/>
      <c r="I10" s="11"/>
      <c r="J10" s="11"/>
      <c r="L10">
        <f>B10+D10</f>
        <v>-55.566308872096435</v>
      </c>
      <c r="M10" s="11">
        <f t="shared" ref="M10:M24" si="0">L10/(1+i)^(A10-1)</f>
        <v>-55.566308872096435</v>
      </c>
      <c r="N10" s="11">
        <f>M10</f>
        <v>-55.566308872096435</v>
      </c>
    </row>
    <row r="11" spans="1:16" x14ac:dyDescent="0.25">
      <c r="A11">
        <v>2</v>
      </c>
      <c r="B11" s="11">
        <f>0.5*CTDC</f>
        <v>-50.566308872096435</v>
      </c>
      <c r="C11" s="11">
        <f>WC</f>
        <v>-34.738234281539917</v>
      </c>
      <c r="D11" s="11"/>
      <c r="E11" s="11"/>
      <c r="F11" s="11">
        <f>Cstart</f>
        <v>-6.6584549444846743</v>
      </c>
      <c r="G11" s="11"/>
      <c r="H11" s="11"/>
      <c r="I11" s="11"/>
      <c r="J11" s="11"/>
      <c r="L11">
        <f>B11+C11+F11</f>
        <v>-91.962998098121034</v>
      </c>
      <c r="M11" s="11">
        <f t="shared" si="0"/>
        <v>-83.330013099885562</v>
      </c>
      <c r="N11" s="11">
        <f>N10+M11</f>
        <v>-138.89632197198199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-4.126427097400116</v>
      </c>
      <c r="F12" s="11"/>
      <c r="G12" s="11"/>
      <c r="H12" s="11">
        <f>P12*-CTDC</f>
        <v>14.451851075645161</v>
      </c>
      <c r="I12" s="11">
        <f>0.5*S</f>
        <v>23.587362515754499</v>
      </c>
      <c r="J12" s="11">
        <f>0.5*COS</f>
        <v>-1.8450530932556213</v>
      </c>
      <c r="K12" s="11">
        <f>(1-tax)*(I12-J12-H12)</f>
        <v>7.1373669466872247</v>
      </c>
      <c r="L12" s="11">
        <f t="shared" ref="L12:L23" si="2">K12+H12+E12</f>
        <v>17.462790924932271</v>
      </c>
      <c r="M12" s="11">
        <f t="shared" si="0"/>
        <v>14.338057310111893</v>
      </c>
      <c r="N12" s="11">
        <f t="shared" ref="N12:N23" si="3">N11+M12</f>
        <v>-124.5582646618701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-4.126427097400116</v>
      </c>
      <c r="F13" s="11"/>
      <c r="G13" s="11"/>
      <c r="H13" s="11">
        <f t="shared" ref="H13:H19" si="4">P13*-CTDC</f>
        <v>24.767378085552835</v>
      </c>
      <c r="I13" s="11">
        <f>0.8*S</f>
        <v>37.739780025207203</v>
      </c>
      <c r="J13" s="11">
        <f>0.8*COS</f>
        <v>-2.9520849492089942</v>
      </c>
      <c r="K13" s="11">
        <f t="shared" ref="K13:K24" si="5">(1-tax)*(I13-J13-H13)</f>
        <v>10.350916477761187</v>
      </c>
      <c r="L13" s="11">
        <f t="shared" si="2"/>
        <v>30.991867465913906</v>
      </c>
      <c r="M13" s="11">
        <f t="shared" si="0"/>
        <v>23.057527351831151</v>
      </c>
      <c r="N13" s="11">
        <f t="shared" si="3"/>
        <v>-101.50073731003894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-4.126427097400116</v>
      </c>
      <c r="F14" s="11"/>
      <c r="G14" s="11"/>
      <c r="H14" s="11">
        <f t="shared" si="4"/>
        <v>17.688094843459332</v>
      </c>
      <c r="I14" s="11">
        <f t="shared" ref="I14:I24" si="6">S</f>
        <v>47.174725031508999</v>
      </c>
      <c r="J14" s="11">
        <f t="shared" ref="J14:J24" si="7">COS</f>
        <v>-3.6901061865112426</v>
      </c>
      <c r="K14" s="11">
        <f t="shared" si="5"/>
        <v>21.564878643464592</v>
      </c>
      <c r="L14" s="11">
        <f t="shared" si="2"/>
        <v>35.126546389523803</v>
      </c>
      <c r="M14" s="11">
        <f t="shared" si="0"/>
        <v>23.680385469581495</v>
      </c>
      <c r="N14" s="11">
        <f t="shared" si="3"/>
        <v>-77.820351840457448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-4.126427097400116</v>
      </c>
      <c r="F15" s="11"/>
      <c r="G15" s="11"/>
      <c r="H15" s="11">
        <f t="shared" si="4"/>
        <v>12.631463956249689</v>
      </c>
      <c r="I15" s="11">
        <f t="shared" si="6"/>
        <v>47.174725031508999</v>
      </c>
      <c r="J15" s="11">
        <f t="shared" si="7"/>
        <v>-3.6901061865112426</v>
      </c>
      <c r="K15" s="11">
        <f t="shared" si="5"/>
        <v>24.851688720150861</v>
      </c>
      <c r="L15" s="11">
        <f t="shared" si="2"/>
        <v>33.356725579000432</v>
      </c>
      <c r="M15" s="11">
        <f t="shared" si="0"/>
        <v>20.376287325571337</v>
      </c>
      <c r="N15" s="11">
        <f t="shared" si="3"/>
        <v>-57.444064514886108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-4.126427097400116</v>
      </c>
      <c r="F16" s="11"/>
      <c r="G16" s="11"/>
      <c r="H16" s="11">
        <f t="shared" si="4"/>
        <v>9.0311427645564244</v>
      </c>
      <c r="I16" s="11">
        <f t="shared" si="6"/>
        <v>47.174725031508999</v>
      </c>
      <c r="J16" s="11">
        <f t="shared" si="7"/>
        <v>-3.6901061865112426</v>
      </c>
      <c r="K16" s="11">
        <f t="shared" si="5"/>
        <v>27.191897494751483</v>
      </c>
      <c r="L16" s="11">
        <f t="shared" si="2"/>
        <v>32.09661316190779</v>
      </c>
      <c r="M16" s="11">
        <f t="shared" si="0"/>
        <v>17.76598048357091</v>
      </c>
      <c r="N16" s="11">
        <f t="shared" si="3"/>
        <v>-39.678084031315194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-4.126427097400116</v>
      </c>
      <c r="F17" s="11"/>
      <c r="G17" s="11"/>
      <c r="H17" s="11">
        <f t="shared" si="4"/>
        <v>9.0210295027820049</v>
      </c>
      <c r="I17" s="11">
        <f t="shared" si="6"/>
        <v>47.174725031508999</v>
      </c>
      <c r="J17" s="11">
        <f t="shared" si="7"/>
        <v>-3.6901061865112426</v>
      </c>
      <c r="K17" s="11">
        <f t="shared" si="5"/>
        <v>27.198471114904855</v>
      </c>
      <c r="L17" s="11">
        <f t="shared" si="2"/>
        <v>32.093073520286744</v>
      </c>
      <c r="M17" s="11">
        <f t="shared" si="0"/>
        <v>16.096431749021214</v>
      </c>
      <c r="N17" s="11">
        <f t="shared" si="3"/>
        <v>-23.58165228229398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-4.126427097400116</v>
      </c>
      <c r="F18" s="11"/>
      <c r="G18" s="11"/>
      <c r="H18" s="11">
        <f t="shared" si="4"/>
        <v>9.0311427645564244</v>
      </c>
      <c r="I18" s="11">
        <f t="shared" si="6"/>
        <v>47.174725031508999</v>
      </c>
      <c r="J18" s="11">
        <f t="shared" si="7"/>
        <v>-3.6901061865112426</v>
      </c>
      <c r="K18" s="11">
        <f t="shared" si="5"/>
        <v>27.191897494751483</v>
      </c>
      <c r="L18" s="11">
        <f t="shared" si="2"/>
        <v>32.09661316190779</v>
      </c>
      <c r="M18" s="11">
        <f t="shared" si="0"/>
        <v>14.586995139481525</v>
      </c>
      <c r="N18" s="11">
        <f t="shared" si="3"/>
        <v>-8.9946571428124553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-4.126427097400116</v>
      </c>
      <c r="F19" s="11"/>
      <c r="G19" s="11"/>
      <c r="H19" s="11">
        <f t="shared" si="4"/>
        <v>4.5105147513910024</v>
      </c>
      <c r="I19" s="11">
        <f t="shared" si="6"/>
        <v>47.174725031508999</v>
      </c>
      <c r="J19" s="11">
        <f t="shared" si="7"/>
        <v>-3.6901061865112426</v>
      </c>
      <c r="K19" s="11">
        <f t="shared" si="5"/>
        <v>30.130305703309009</v>
      </c>
      <c r="L19" s="11">
        <f t="shared" si="2"/>
        <v>30.514393357299895</v>
      </c>
      <c r="M19" s="11">
        <f t="shared" si="0"/>
        <v>12.566076502148995</v>
      </c>
      <c r="N19" s="11">
        <f t="shared" si="3"/>
        <v>3.5714193593365398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-4.126427097400116</v>
      </c>
      <c r="F20" s="11"/>
      <c r="G20" s="11"/>
      <c r="H20" s="11"/>
      <c r="I20" s="11">
        <f t="shared" si="6"/>
        <v>47.174725031508999</v>
      </c>
      <c r="J20" s="11">
        <f t="shared" si="7"/>
        <v>-3.6901061865112426</v>
      </c>
      <c r="K20" s="11">
        <f t="shared" si="5"/>
        <v>33.062140291713156</v>
      </c>
      <c r="L20" s="11">
        <f t="shared" si="2"/>
        <v>28.935713194313038</v>
      </c>
      <c r="M20" s="11">
        <f t="shared" si="0"/>
        <v>10.797357445846695</v>
      </c>
      <c r="N20" s="11">
        <f t="shared" si="3"/>
        <v>14.368776805183234</v>
      </c>
    </row>
    <row r="21" spans="1:16" x14ac:dyDescent="0.25">
      <c r="A21">
        <v>12</v>
      </c>
      <c r="B21" s="11"/>
      <c r="C21" s="11"/>
      <c r="D21" s="11"/>
      <c r="E21" s="11">
        <f t="shared" si="1"/>
        <v>-4.126427097400116</v>
      </c>
      <c r="F21" s="11"/>
      <c r="G21" s="11"/>
      <c r="H21" s="11"/>
      <c r="I21" s="11">
        <f t="shared" si="6"/>
        <v>47.174725031508999</v>
      </c>
      <c r="J21" s="11">
        <f t="shared" si="7"/>
        <v>-3.6901061865112426</v>
      </c>
      <c r="K21" s="11">
        <f t="shared" si="5"/>
        <v>33.062140291713156</v>
      </c>
      <c r="L21" s="11">
        <f t="shared" si="2"/>
        <v>28.935713194313038</v>
      </c>
      <c r="M21" s="11">
        <f t="shared" si="0"/>
        <v>9.7837603820458252</v>
      </c>
      <c r="N21" s="11">
        <f t="shared" si="3"/>
        <v>24.152537187229058</v>
      </c>
    </row>
    <row r="22" spans="1:16" x14ac:dyDescent="0.25">
      <c r="A22">
        <v>13</v>
      </c>
      <c r="B22" s="11"/>
      <c r="C22" s="11"/>
      <c r="D22" s="11"/>
      <c r="E22" s="11">
        <f t="shared" si="1"/>
        <v>-4.126427097400116</v>
      </c>
      <c r="F22" s="11"/>
      <c r="G22" s="11"/>
      <c r="H22" s="11"/>
      <c r="I22" s="11">
        <f t="shared" si="6"/>
        <v>47.174725031508999</v>
      </c>
      <c r="J22" s="11">
        <f t="shared" si="7"/>
        <v>-3.6901061865112426</v>
      </c>
      <c r="K22" s="11">
        <f t="shared" si="5"/>
        <v>33.062140291713156</v>
      </c>
      <c r="L22" s="11">
        <f t="shared" si="2"/>
        <v>28.935713194313038</v>
      </c>
      <c r="M22" s="11">
        <f t="shared" si="0"/>
        <v>8.8653142857755256</v>
      </c>
      <c r="N22" s="11">
        <f t="shared" si="3"/>
        <v>33.017851473004583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-4.126427097400116</v>
      </c>
      <c r="F23" s="11"/>
      <c r="G23" s="11"/>
      <c r="H23" s="11"/>
      <c r="I23" s="11">
        <f t="shared" si="6"/>
        <v>47.174725031508999</v>
      </c>
      <c r="J23" s="11">
        <f t="shared" si="7"/>
        <v>-3.6901061865112426</v>
      </c>
      <c r="K23" s="11">
        <f t="shared" si="5"/>
        <v>33.062140291713156</v>
      </c>
      <c r="L23" s="11">
        <f t="shared" si="2"/>
        <v>28.935713194313038</v>
      </c>
      <c r="M23" s="11">
        <f t="shared" si="0"/>
        <v>8.0330869028439285</v>
      </c>
      <c r="N23" s="11">
        <f t="shared" si="3"/>
        <v>41.05093837584851</v>
      </c>
    </row>
    <row r="24" spans="1:16" ht="15.75" thickBot="1" x14ac:dyDescent="0.3">
      <c r="A24">
        <v>15</v>
      </c>
      <c r="B24" s="11"/>
      <c r="C24" s="11">
        <f>-WC</f>
        <v>34.738234281539917</v>
      </c>
      <c r="D24" s="11"/>
      <c r="E24" s="11">
        <f t="shared" si="1"/>
        <v>-4.126427097400116</v>
      </c>
      <c r="F24" s="11"/>
      <c r="G24" s="11"/>
      <c r="H24" s="11"/>
      <c r="I24" s="11">
        <f t="shared" si="6"/>
        <v>47.174725031508999</v>
      </c>
      <c r="J24" s="11">
        <f t="shared" si="7"/>
        <v>-3.6901061865112426</v>
      </c>
      <c r="K24" s="11">
        <f t="shared" si="5"/>
        <v>33.062140291713156</v>
      </c>
      <c r="L24" s="11">
        <f>C24+K24+G24+E24</f>
        <v>63.673947475852948</v>
      </c>
      <c r="M24" s="11">
        <f t="shared" si="0"/>
        <v>16.017634436952115</v>
      </c>
      <c r="N24" s="13">
        <f>N23+M24</f>
        <v>57.068572812800625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Form">
                <anchor moveWithCells="1" sizeWithCells="1">
                  <from>
                    <xdr:col>2</xdr:col>
                    <xdr:colOff>895350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0"/>
  <sheetViews>
    <sheetView workbookViewId="0">
      <selection activeCell="F7" sqref="F7"/>
    </sheetView>
  </sheetViews>
  <sheetFormatPr defaultRowHeight="15" x14ac:dyDescent="0.25"/>
  <sheetData>
    <row r="1" spans="1:2" x14ac:dyDescent="0.25">
      <c r="A1">
        <v>0</v>
      </c>
      <c r="B1">
        <v>0</v>
      </c>
    </row>
    <row r="2" spans="1:2" x14ac:dyDescent="0.25">
      <c r="A2">
        <v>-30</v>
      </c>
      <c r="B2">
        <v>3</v>
      </c>
    </row>
    <row r="3" spans="1:2" x14ac:dyDescent="0.25">
      <c r="A3">
        <v>-10</v>
      </c>
      <c r="B3">
        <v>10</v>
      </c>
    </row>
    <row r="4" spans="1:2" x14ac:dyDescent="0.25">
      <c r="A4">
        <v>10</v>
      </c>
      <c r="B4">
        <v>26</v>
      </c>
    </row>
    <row r="5" spans="1:2" x14ac:dyDescent="0.25">
      <c r="A5">
        <v>30</v>
      </c>
      <c r="B5">
        <v>56</v>
      </c>
    </row>
    <row r="6" spans="1:2" x14ac:dyDescent="0.25">
      <c r="A6">
        <v>50</v>
      </c>
      <c r="B6">
        <v>60</v>
      </c>
    </row>
    <row r="7" spans="1:2" x14ac:dyDescent="0.25">
      <c r="A7">
        <v>70</v>
      </c>
      <c r="B7">
        <v>35</v>
      </c>
    </row>
    <row r="8" spans="1:2" x14ac:dyDescent="0.25">
      <c r="A8">
        <v>90</v>
      </c>
      <c r="B8">
        <v>33</v>
      </c>
    </row>
    <row r="9" spans="1:2" x14ac:dyDescent="0.25">
      <c r="A9">
        <v>110</v>
      </c>
      <c r="B9">
        <v>20</v>
      </c>
    </row>
    <row r="10" spans="1:2" x14ac:dyDescent="0.25">
      <c r="A10">
        <v>130</v>
      </c>
      <c r="B10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Kyle Hollands</cp:lastModifiedBy>
  <dcterms:created xsi:type="dcterms:W3CDTF">2013-10-29T18:00:12Z</dcterms:created>
  <dcterms:modified xsi:type="dcterms:W3CDTF">2020-08-13T18:30:13Z</dcterms:modified>
</cp:coreProperties>
</file>